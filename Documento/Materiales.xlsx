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708d86aa79f336/Documentos/Git/Domotica-IoT/dom32-io-wifi/Documento/"/>
    </mc:Choice>
  </mc:AlternateContent>
  <xr:revisionPtr revIDLastSave="84" documentId="8_{10681902-B939-40C3-8FBC-76A8AB412AB3}" xr6:coauthVersionLast="47" xr6:coauthVersionMax="47" xr10:uidLastSave="{E551EA1D-676B-4DE7-B844-574DF207462F}"/>
  <bookViews>
    <workbookView xWindow="-108" yWindow="-108" windowWidth="23256" windowHeight="13176" xr2:uid="{40765B43-0EDD-49E3-82F7-FE87379CACB8}"/>
  </bookViews>
  <sheets>
    <sheet name="Costo por plac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25" i="1" l="1"/>
</calcChain>
</file>

<file path=xl/sharedStrings.xml><?xml version="1.0" encoding="utf-8"?>
<sst xmlns="http://schemas.openxmlformats.org/spreadsheetml/2006/main" count="44" uniqueCount="39">
  <si>
    <t>100nf / 50v</t>
  </si>
  <si>
    <t>Capacitor electrolitico</t>
  </si>
  <si>
    <t>Componente</t>
  </si>
  <si>
    <t>Valor</t>
  </si>
  <si>
    <t>Cantidad</t>
  </si>
  <si>
    <t>Capacitor ceramico SMD 0805</t>
  </si>
  <si>
    <t>Led SMD 0805</t>
  </si>
  <si>
    <t>Verde</t>
  </si>
  <si>
    <t>Azul</t>
  </si>
  <si>
    <t>Amarillo</t>
  </si>
  <si>
    <t>Diodo</t>
  </si>
  <si>
    <t>M7</t>
  </si>
  <si>
    <t>LL4148</t>
  </si>
  <si>
    <t>Unitario</t>
  </si>
  <si>
    <t>Por placa</t>
  </si>
  <si>
    <t>Bornera x 2</t>
  </si>
  <si>
    <t>Bornera x 3</t>
  </si>
  <si>
    <t>Relee 12v 10A</t>
  </si>
  <si>
    <t>Resistencia SMD 0805</t>
  </si>
  <si>
    <t>1K</t>
  </si>
  <si>
    <t>10K</t>
  </si>
  <si>
    <t>Tact Switch</t>
  </si>
  <si>
    <t>Procesador</t>
  </si>
  <si>
    <t>Modulo Wifi</t>
  </si>
  <si>
    <t>ESP-WROOM-02</t>
  </si>
  <si>
    <t>LM1117-3.3</t>
  </si>
  <si>
    <t>Regulador SOT-223</t>
  </si>
  <si>
    <t>Circuito impreso</t>
  </si>
  <si>
    <t>MAYER_65709-42</t>
  </si>
  <si>
    <t>DG128-B2V</t>
  </si>
  <si>
    <t>DG128-B3V</t>
  </si>
  <si>
    <t>SRD-12VDC-SL-C</t>
  </si>
  <si>
    <t>6x6x4.3 mm</t>
  </si>
  <si>
    <t>1000uf / 25v</t>
  </si>
  <si>
    <t>100uf / 25v</t>
  </si>
  <si>
    <t>PIC32MM0256GPM028-I/SS (E/SS)</t>
  </si>
  <si>
    <t>U$S</t>
  </si>
  <si>
    <t>Total</t>
  </si>
  <si>
    <t>de materiales por placa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</si>
</sst>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9A11-B985-4147-9214-841059C88A3F}">
  <dimension ref="A1:F25"/>
  <sheetViews>
    <sheetView tabSelected="1" workbookViewId="0">
      <selection activeCell="D15" sqref="D15"/>
    </sheetView>
  </sheetViews>
  <sheetFormatPr baseColWidth="10" defaultColWidth="8.77734375" defaultRowHeight="14.4" x14ac:dyDescent="0.3"/>
  <cols>
    <col min="1" max="1" width="20.77734375" bestFit="1" customWidth="1"/>
    <col min="2" max="2" width="24.77734375" bestFit="1" customWidth="1"/>
  </cols>
  <sheetData>
    <row r="1" spans="1:5" x14ac:dyDescent="0.3">
      <c r="A1" t="s">
        <v>2</v>
      </c>
      <c r="B1" t="s">
        <v>3</v>
      </c>
      <c r="C1" t="s">
        <v>4</v>
      </c>
      <c r="D1" t="s">
        <v>13</v>
      </c>
      <c r="E1" t="s">
        <v>14</v>
      </c>
    </row>
    <row r="2" spans="1:5" x14ac:dyDescent="0.3">
      <c r="A2" t="s">
        <v>18</v>
      </c>
      <c r="B2" t="s">
        <v>19</v>
      </c>
      <c r="C2">
        <v>18</v>
      </c>
      <c r="D2" s="1">
        <v>0.03</v>
      </c>
      <c r="E2" s="1">
        <f>D2*C2</f>
        <v>0.54</v>
      </c>
    </row>
    <row r="3" spans="1:5" x14ac:dyDescent="0.3">
      <c r="A3" t="s">
        <v>18</v>
      </c>
      <c r="B3" t="s">
        <v>20</v>
      </c>
      <c r="C3">
        <v>1</v>
      </c>
      <c r="D3" s="1">
        <v>0.03</v>
      </c>
      <c r="E3" s="1">
        <f t="shared" ref="E3:E19" si="0">D3*C3</f>
        <v>0.03</v>
      </c>
    </row>
    <row r="4" spans="1:5" x14ac:dyDescent="0.3">
      <c r="A4" t="s">
        <v>5</v>
      </c>
      <c r="B4" t="s">
        <v>0</v>
      </c>
      <c r="C4">
        <v>12</v>
      </c>
      <c r="D4" s="1">
        <v>0.11</v>
      </c>
      <c r="E4" s="1">
        <f t="shared" si="0"/>
        <v>1.32</v>
      </c>
    </row>
    <row r="5" spans="1:5" x14ac:dyDescent="0.3">
      <c r="A5" t="s">
        <v>1</v>
      </c>
      <c r="B5" t="s">
        <v>33</v>
      </c>
      <c r="C5">
        <v>1</v>
      </c>
      <c r="D5" s="1">
        <v>0.31</v>
      </c>
      <c r="E5" s="1">
        <f t="shared" si="0"/>
        <v>0.31</v>
      </c>
    </row>
    <row r="6" spans="1:5" x14ac:dyDescent="0.3">
      <c r="A6" t="s">
        <v>1</v>
      </c>
      <c r="B6" t="s">
        <v>34</v>
      </c>
      <c r="C6">
        <v>4</v>
      </c>
      <c r="D6" s="1">
        <v>0.13</v>
      </c>
      <c r="E6" s="1">
        <f t="shared" si="0"/>
        <v>0.52</v>
      </c>
    </row>
    <row r="7" spans="1:5" x14ac:dyDescent="0.3">
      <c r="A7" t="s">
        <v>6</v>
      </c>
      <c r="B7" t="s">
        <v>7</v>
      </c>
      <c r="C7">
        <v>1</v>
      </c>
      <c r="D7" s="1">
        <v>0.11</v>
      </c>
      <c r="E7" s="1">
        <f t="shared" si="0"/>
        <v>0.11</v>
      </c>
    </row>
    <row r="8" spans="1:5" x14ac:dyDescent="0.3">
      <c r="A8" t="s">
        <v>6</v>
      </c>
      <c r="B8" t="s">
        <v>8</v>
      </c>
      <c r="C8">
        <v>1</v>
      </c>
      <c r="D8" s="1">
        <v>0.11</v>
      </c>
      <c r="E8" s="1">
        <f t="shared" si="0"/>
        <v>0.11</v>
      </c>
    </row>
    <row r="9" spans="1:5" x14ac:dyDescent="0.3">
      <c r="A9" t="s">
        <v>6</v>
      </c>
      <c r="B9" t="s">
        <v>9</v>
      </c>
      <c r="C9">
        <v>1</v>
      </c>
      <c r="D9" s="1">
        <v>0.11</v>
      </c>
      <c r="E9" s="1">
        <f t="shared" si="0"/>
        <v>0.11</v>
      </c>
    </row>
    <row r="10" spans="1:5" x14ac:dyDescent="0.3">
      <c r="A10" t="s">
        <v>10</v>
      </c>
      <c r="B10" t="s">
        <v>11</v>
      </c>
      <c r="C10">
        <v>3</v>
      </c>
      <c r="D10" s="1">
        <v>0.4</v>
      </c>
      <c r="E10" s="1">
        <f t="shared" si="0"/>
        <v>1.2000000000000002</v>
      </c>
    </row>
    <row r="11" spans="1:5" x14ac:dyDescent="0.3">
      <c r="A11" t="s">
        <v>10</v>
      </c>
      <c r="B11" t="s">
        <v>12</v>
      </c>
      <c r="C11">
        <v>5</v>
      </c>
      <c r="D11" s="1">
        <v>0.08</v>
      </c>
      <c r="E11" s="1">
        <f t="shared" si="0"/>
        <v>0.4</v>
      </c>
    </row>
    <row r="12" spans="1:5" x14ac:dyDescent="0.3">
      <c r="A12" t="s">
        <v>15</v>
      </c>
      <c r="B12" t="s">
        <v>29</v>
      </c>
      <c r="C12">
        <v>2</v>
      </c>
      <c r="D12" s="1">
        <v>0.23</v>
      </c>
      <c r="E12" s="1">
        <f t="shared" si="0"/>
        <v>0.46</v>
      </c>
    </row>
    <row r="13" spans="1:5" x14ac:dyDescent="0.3">
      <c r="A13" t="s">
        <v>16</v>
      </c>
      <c r="B13" t="s">
        <v>30</v>
      </c>
      <c r="C13">
        <v>3</v>
      </c>
      <c r="D13" s="1">
        <v>0.34</v>
      </c>
      <c r="E13" s="1">
        <f t="shared" si="0"/>
        <v>1.02</v>
      </c>
    </row>
    <row r="14" spans="1:5" x14ac:dyDescent="0.3">
      <c r="A14" t="s">
        <v>17</v>
      </c>
      <c r="B14" t="s">
        <v>31</v>
      </c>
      <c r="C14">
        <v>4</v>
      </c>
      <c r="D14" s="1">
        <v>0.6</v>
      </c>
      <c r="E14" s="1">
        <f t="shared" si="0"/>
        <v>2.4</v>
      </c>
    </row>
    <row r="15" spans="1:5" x14ac:dyDescent="0.3">
      <c r="A15" t="s">
        <v>21</v>
      </c>
      <c r="B15" t="s">
        <v>32</v>
      </c>
      <c r="C15">
        <v>1</v>
      </c>
      <c r="D15" s="1">
        <v>0.13</v>
      </c>
      <c r="E15" s="1">
        <f t="shared" si="0"/>
        <v>0.13</v>
      </c>
    </row>
    <row r="16" spans="1:5" x14ac:dyDescent="0.3">
      <c r="A16" t="s">
        <v>26</v>
      </c>
      <c r="B16" t="s">
        <v>25</v>
      </c>
      <c r="C16">
        <v>1</v>
      </c>
      <c r="D16" s="1">
        <v>0.18</v>
      </c>
      <c r="E16" s="1">
        <f t="shared" si="0"/>
        <v>0.18</v>
      </c>
    </row>
    <row r="17" spans="1:6" x14ac:dyDescent="0.3">
      <c r="A17" t="s">
        <v>22</v>
      </c>
      <c r="B17" t="s">
        <v>35</v>
      </c>
      <c r="C17">
        <v>1</v>
      </c>
      <c r="D17" s="1">
        <v>2.2999999999999998</v>
      </c>
      <c r="E17" s="1">
        <f t="shared" si="0"/>
        <v>2.2999999999999998</v>
      </c>
    </row>
    <row r="18" spans="1:6" x14ac:dyDescent="0.3">
      <c r="A18" t="s">
        <v>23</v>
      </c>
      <c r="B18" t="s">
        <v>24</v>
      </c>
      <c r="C18">
        <v>1</v>
      </c>
      <c r="D18" s="1">
        <v>7.2</v>
      </c>
      <c r="E18" s="1">
        <f t="shared" si="0"/>
        <v>7.2</v>
      </c>
    </row>
    <row r="19" spans="1:6" x14ac:dyDescent="0.3">
      <c r="A19" t="s">
        <v>27</v>
      </c>
      <c r="B19" t="s">
        <v>28</v>
      </c>
      <c r="C19">
        <v>1</v>
      </c>
      <c r="D19" s="1">
        <v>8</v>
      </c>
      <c r="E19" s="1">
        <f t="shared" si="0"/>
        <v>8</v>
      </c>
    </row>
    <row r="25" spans="1:6" x14ac:dyDescent="0.3">
      <c r="C25" t="s">
        <v>37</v>
      </c>
      <c r="D25" t="s">
        <v>36</v>
      </c>
      <c r="E25" s="1">
        <f>SUM(E2:E24)</f>
        <v>26.34</v>
      </c>
      <c r="F25" t="s">
        <v>38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 por placa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Gabriel Pirri</dc:creator>
  <cp:lastModifiedBy>Walter Gabriel Pirri</cp:lastModifiedBy>
  <dcterms:created xsi:type="dcterms:W3CDTF">2022-06-06T16:59:41Z</dcterms:created>
  <dcterms:modified xsi:type="dcterms:W3CDTF">2022-10-27T14:59:02Z</dcterms:modified>
</cp:coreProperties>
</file>