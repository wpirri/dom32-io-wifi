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2708d86aa79f336/Documentos/Git/dom32-io-wifi/Documento/"/>
    </mc:Choice>
  </mc:AlternateContent>
  <xr:revisionPtr revIDLastSave="153" documentId="8_{10681902-B939-40C3-8FBC-76A8AB412AB3}" xr6:coauthVersionLast="47" xr6:coauthVersionMax="47" xr10:uidLastSave="{402941D6-D45F-4770-8670-F5564F9585E3}"/>
  <bookViews>
    <workbookView xWindow="-110" yWindow="-110" windowWidth="19420" windowHeight="11020" xr2:uid="{40765B43-0EDD-49E3-82F7-FE87379CACB8}"/>
  </bookViews>
  <sheets>
    <sheet name="Costo por plac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6" i="1" l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3" i="1"/>
  <c r="G2" i="1"/>
  <c r="G27" i="1" l="1"/>
</calcChain>
</file>

<file path=xl/sharedStrings.xml><?xml version="1.0" encoding="utf-8"?>
<sst xmlns="http://schemas.openxmlformats.org/spreadsheetml/2006/main" count="66" uniqueCount="60">
  <si>
    <t>100nf / 50v</t>
  </si>
  <si>
    <t>Capacitor electrolitico</t>
  </si>
  <si>
    <t>Componente</t>
  </si>
  <si>
    <t>Valor</t>
  </si>
  <si>
    <t>Cantidad</t>
  </si>
  <si>
    <t>Capacitor ceramico SMD 0805</t>
  </si>
  <si>
    <t>Led SMD 0805</t>
  </si>
  <si>
    <t>Verde</t>
  </si>
  <si>
    <t>Azul</t>
  </si>
  <si>
    <t>Amarillo</t>
  </si>
  <si>
    <t>Diodo</t>
  </si>
  <si>
    <t>M7</t>
  </si>
  <si>
    <t>LL4148</t>
  </si>
  <si>
    <t>Unitario</t>
  </si>
  <si>
    <t>Por placa</t>
  </si>
  <si>
    <t>Bornera x 2</t>
  </si>
  <si>
    <t>Bornera x 3</t>
  </si>
  <si>
    <t>Relee 12v 10A</t>
  </si>
  <si>
    <t>Resistencia SMD 0805</t>
  </si>
  <si>
    <t>1K</t>
  </si>
  <si>
    <t>10K</t>
  </si>
  <si>
    <t>Tact Switch</t>
  </si>
  <si>
    <t>Procesador</t>
  </si>
  <si>
    <t>Modulo Wifi</t>
  </si>
  <si>
    <t>ESP-WROOM-02</t>
  </si>
  <si>
    <t>Regulador SOT-223</t>
  </si>
  <si>
    <t>Circuito impreso</t>
  </si>
  <si>
    <t>MAYER_65709-42</t>
  </si>
  <si>
    <t>DG128-B2V</t>
  </si>
  <si>
    <t>DG128-B3V</t>
  </si>
  <si>
    <t>1000uf / 25v</t>
  </si>
  <si>
    <t>100uf / 25v</t>
  </si>
  <si>
    <t>PIC32MM0256GPM028-I/SS (E/SS)</t>
  </si>
  <si>
    <t>Total</t>
  </si>
  <si>
    <t>DigiKey</t>
  </si>
  <si>
    <t>BC847C-TPCT-ND</t>
  </si>
  <si>
    <t>Transistor</t>
  </si>
  <si>
    <t>BC847</t>
  </si>
  <si>
    <t>1965-ESP-WROOM-02D-N4CT-ND</t>
  </si>
  <si>
    <t>PIC32MM0256GPM028-I/SS-ND</t>
  </si>
  <si>
    <t>ZLDO1117QG33TADICT-ND</t>
  </si>
  <si>
    <t>ZLDO1117</t>
  </si>
  <si>
    <t>3372-0805B104K500BDTR-ND</t>
  </si>
  <si>
    <t>13-RC0805JR-131KLCT-ND</t>
  </si>
  <si>
    <t>311-10KARCT-ND</t>
  </si>
  <si>
    <t>311-33ARCT-ND</t>
  </si>
  <si>
    <t>33R</t>
  </si>
  <si>
    <t>LL4148-GS08CT-ND</t>
  </si>
  <si>
    <t>3385-AZ943-1CH-12DE-ND</t>
  </si>
  <si>
    <t>943-Series</t>
  </si>
  <si>
    <t>6x6x5 mm</t>
  </si>
  <si>
    <t>277-1667-ND</t>
  </si>
  <si>
    <t>277-1578-ND</t>
  </si>
  <si>
    <t>732-8835-1-ND</t>
  </si>
  <si>
    <t>732-8630-1-ND</t>
  </si>
  <si>
    <t>3147-B1701NB--20D000114U1930CT-ND</t>
  </si>
  <si>
    <t>3147-B1701UY--20D000214U1930CT-ND</t>
  </si>
  <si>
    <t>3147-B1701NG--20D000314U1930CT-ND</t>
  </si>
  <si>
    <t>486-3458-ND</t>
  </si>
  <si>
    <t>3372-M7TR-ND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</si>
</sst>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49A11-B985-4147-9214-841059C88A3F}">
  <dimension ref="A1:G27"/>
  <sheetViews>
    <sheetView tabSelected="1" workbookViewId="0">
      <selection activeCell="D10" sqref="D10"/>
    </sheetView>
  </sheetViews>
  <sheetFormatPr baseColWidth="10" defaultColWidth="8.81640625" defaultRowHeight="14.5" x14ac:dyDescent="0.35"/>
  <cols>
    <col min="1" max="1" width="3.90625" customWidth="1"/>
    <col min="2" max="2" width="20.81640625" bestFit="1" customWidth="1"/>
    <col min="3" max="3" width="29.36328125" bestFit="1" customWidth="1"/>
    <col min="4" max="4" width="34.54296875" bestFit="1" customWidth="1"/>
    <col min="7" max="7" width="12.90625" customWidth="1"/>
  </cols>
  <sheetData>
    <row r="1" spans="1:7" x14ac:dyDescent="0.35">
      <c r="A1" s="1"/>
      <c r="B1" s="1" t="s">
        <v>2</v>
      </c>
      <c r="C1" s="1" t="s">
        <v>3</v>
      </c>
      <c r="D1" s="1" t="s">
        <v>34</v>
      </c>
      <c r="E1" s="1" t="s">
        <v>4</v>
      </c>
      <c r="F1" s="1" t="s">
        <v>13</v>
      </c>
      <c r="G1" s="1" t="s">
        <v>14</v>
      </c>
    </row>
    <row r="2" spans="1:7" x14ac:dyDescent="0.35">
      <c r="A2" s="1"/>
      <c r="B2" s="1" t="s">
        <v>18</v>
      </c>
      <c r="C2" s="1" t="s">
        <v>19</v>
      </c>
      <c r="D2" s="1" t="s">
        <v>43</v>
      </c>
      <c r="E2" s="1">
        <v>18</v>
      </c>
      <c r="F2" s="2">
        <v>0.1</v>
      </c>
      <c r="G2" s="2">
        <f>F2*E2</f>
        <v>1.8</v>
      </c>
    </row>
    <row r="3" spans="1:7" x14ac:dyDescent="0.35">
      <c r="A3" s="1"/>
      <c r="B3" s="1" t="s">
        <v>18</v>
      </c>
      <c r="C3" s="1" t="s">
        <v>20</v>
      </c>
      <c r="D3" s="1" t="s">
        <v>44</v>
      </c>
      <c r="E3" s="1">
        <v>1</v>
      </c>
      <c r="F3" s="2">
        <v>0.1</v>
      </c>
      <c r="G3" s="2">
        <f t="shared" ref="G3:G26" si="0">F3*E3</f>
        <v>0.1</v>
      </c>
    </row>
    <row r="4" spans="1:7" x14ac:dyDescent="0.35">
      <c r="A4" s="1"/>
      <c r="B4" s="1" t="s">
        <v>18</v>
      </c>
      <c r="C4" s="1" t="s">
        <v>46</v>
      </c>
      <c r="D4" s="1" t="s">
        <v>45</v>
      </c>
      <c r="E4" s="1">
        <v>3</v>
      </c>
      <c r="F4" s="2">
        <v>0.1</v>
      </c>
      <c r="G4" s="2"/>
    </row>
    <row r="5" spans="1:7" x14ac:dyDescent="0.35">
      <c r="A5" s="1"/>
      <c r="B5" s="1" t="s">
        <v>5</v>
      </c>
      <c r="C5" s="1" t="s">
        <v>0</v>
      </c>
      <c r="D5" s="1" t="s">
        <v>42</v>
      </c>
      <c r="E5" s="1">
        <v>12</v>
      </c>
      <c r="F5" s="2">
        <v>0.05</v>
      </c>
      <c r="G5" s="2">
        <f t="shared" si="0"/>
        <v>0.60000000000000009</v>
      </c>
    </row>
    <row r="6" spans="1:7" x14ac:dyDescent="0.35">
      <c r="A6" s="1"/>
      <c r="B6" s="1" t="s">
        <v>1</v>
      </c>
      <c r="C6" s="1" t="s">
        <v>30</v>
      </c>
      <c r="D6" s="1" t="s">
        <v>53</v>
      </c>
      <c r="E6" s="1">
        <v>1</v>
      </c>
      <c r="F6" s="2">
        <v>0.56999999999999995</v>
      </c>
      <c r="G6" s="2">
        <f t="shared" si="0"/>
        <v>0.56999999999999995</v>
      </c>
    </row>
    <row r="7" spans="1:7" x14ac:dyDescent="0.35">
      <c r="A7" s="1"/>
      <c r="B7" s="1" t="s">
        <v>1</v>
      </c>
      <c r="C7" s="1" t="s">
        <v>31</v>
      </c>
      <c r="D7" s="1" t="s">
        <v>54</v>
      </c>
      <c r="E7" s="1">
        <v>4</v>
      </c>
      <c r="F7" s="2">
        <v>0.13</v>
      </c>
      <c r="G7" s="2">
        <f t="shared" si="0"/>
        <v>0.52</v>
      </c>
    </row>
    <row r="8" spans="1:7" x14ac:dyDescent="0.35">
      <c r="A8" s="1"/>
      <c r="B8" s="1" t="s">
        <v>6</v>
      </c>
      <c r="C8" s="1" t="s">
        <v>7</v>
      </c>
      <c r="D8" s="1" t="s">
        <v>57</v>
      </c>
      <c r="E8" s="1">
        <v>1</v>
      </c>
      <c r="F8" s="2">
        <v>0.11</v>
      </c>
      <c r="G8" s="2">
        <f t="shared" si="0"/>
        <v>0.11</v>
      </c>
    </row>
    <row r="9" spans="1:7" x14ac:dyDescent="0.35">
      <c r="A9" s="1"/>
      <c r="B9" s="1" t="s">
        <v>6</v>
      </c>
      <c r="C9" s="1" t="s">
        <v>8</v>
      </c>
      <c r="D9" s="1" t="s">
        <v>55</v>
      </c>
      <c r="E9" s="1">
        <v>1</v>
      </c>
      <c r="F9" s="2">
        <v>0.1</v>
      </c>
      <c r="G9" s="2">
        <f t="shared" si="0"/>
        <v>0.1</v>
      </c>
    </row>
    <row r="10" spans="1:7" x14ac:dyDescent="0.35">
      <c r="A10" s="1"/>
      <c r="B10" s="1" t="s">
        <v>6</v>
      </c>
      <c r="C10" s="1" t="s">
        <v>9</v>
      </c>
      <c r="D10" s="1" t="s">
        <v>56</v>
      </c>
      <c r="E10" s="1">
        <v>1</v>
      </c>
      <c r="F10" s="2">
        <v>0.1</v>
      </c>
      <c r="G10" s="2">
        <f t="shared" si="0"/>
        <v>0.1</v>
      </c>
    </row>
    <row r="11" spans="1:7" x14ac:dyDescent="0.35">
      <c r="A11" s="1"/>
      <c r="B11" s="1" t="s">
        <v>10</v>
      </c>
      <c r="C11" s="1" t="s">
        <v>11</v>
      </c>
      <c r="D11" s="1" t="s">
        <v>59</v>
      </c>
      <c r="E11" s="1">
        <v>3</v>
      </c>
      <c r="F11" s="2">
        <v>0.1</v>
      </c>
      <c r="G11" s="2">
        <f t="shared" si="0"/>
        <v>0.30000000000000004</v>
      </c>
    </row>
    <row r="12" spans="1:7" x14ac:dyDescent="0.35">
      <c r="A12" s="1"/>
      <c r="B12" s="1" t="s">
        <v>10</v>
      </c>
      <c r="C12" s="1" t="s">
        <v>12</v>
      </c>
      <c r="D12" s="1" t="s">
        <v>47</v>
      </c>
      <c r="E12" s="1">
        <v>5</v>
      </c>
      <c r="F12" s="2">
        <v>0.17</v>
      </c>
      <c r="G12" s="2">
        <f t="shared" si="0"/>
        <v>0.85000000000000009</v>
      </c>
    </row>
    <row r="13" spans="1:7" x14ac:dyDescent="0.35">
      <c r="A13" s="1"/>
      <c r="B13" s="1" t="s">
        <v>36</v>
      </c>
      <c r="C13" s="1" t="s">
        <v>37</v>
      </c>
      <c r="D13" s="1" t="s">
        <v>35</v>
      </c>
      <c r="E13" s="1">
        <v>4</v>
      </c>
      <c r="F13" s="2">
        <v>0.14000000000000001</v>
      </c>
      <c r="G13" s="2">
        <f t="shared" si="0"/>
        <v>0.56000000000000005</v>
      </c>
    </row>
    <row r="14" spans="1:7" x14ac:dyDescent="0.35">
      <c r="A14" s="1"/>
      <c r="B14" s="1" t="s">
        <v>15</v>
      </c>
      <c r="C14" s="1" t="s">
        <v>28</v>
      </c>
      <c r="D14" s="1" t="s">
        <v>51</v>
      </c>
      <c r="E14" s="1">
        <v>2</v>
      </c>
      <c r="F14" s="2">
        <v>0.52</v>
      </c>
      <c r="G14" s="2">
        <f t="shared" si="0"/>
        <v>1.04</v>
      </c>
    </row>
    <row r="15" spans="1:7" x14ac:dyDescent="0.35">
      <c r="A15" s="1"/>
      <c r="B15" s="1" t="s">
        <v>16</v>
      </c>
      <c r="C15" s="1" t="s">
        <v>29</v>
      </c>
      <c r="D15" s="1" t="s">
        <v>52</v>
      </c>
      <c r="E15" s="1">
        <v>3</v>
      </c>
      <c r="F15" s="2">
        <v>0.71</v>
      </c>
      <c r="G15" s="2">
        <f t="shared" si="0"/>
        <v>2.13</v>
      </c>
    </row>
    <row r="16" spans="1:7" x14ac:dyDescent="0.35">
      <c r="A16" s="1"/>
      <c r="B16" s="1" t="s">
        <v>17</v>
      </c>
      <c r="C16" s="1" t="s">
        <v>49</v>
      </c>
      <c r="D16" s="1" t="s">
        <v>48</v>
      </c>
      <c r="E16" s="1">
        <v>4</v>
      </c>
      <c r="F16" s="2">
        <v>0.65</v>
      </c>
      <c r="G16" s="2">
        <f t="shared" si="0"/>
        <v>2.6</v>
      </c>
    </row>
    <row r="17" spans="1:7" x14ac:dyDescent="0.35">
      <c r="A17" s="1"/>
      <c r="B17" s="1" t="s">
        <v>21</v>
      </c>
      <c r="C17" s="1" t="s">
        <v>50</v>
      </c>
      <c r="D17" s="1" t="s">
        <v>58</v>
      </c>
      <c r="E17" s="1">
        <v>1</v>
      </c>
      <c r="F17" s="2">
        <v>0.23</v>
      </c>
      <c r="G17" s="2">
        <f t="shared" si="0"/>
        <v>0.23</v>
      </c>
    </row>
    <row r="18" spans="1:7" x14ac:dyDescent="0.35">
      <c r="A18" s="1"/>
      <c r="B18" s="1" t="s">
        <v>25</v>
      </c>
      <c r="C18" s="1" t="s">
        <v>41</v>
      </c>
      <c r="D18" s="1" t="s">
        <v>40</v>
      </c>
      <c r="E18" s="1">
        <v>1</v>
      </c>
      <c r="F18" s="2">
        <v>0.67</v>
      </c>
      <c r="G18" s="2">
        <f t="shared" si="0"/>
        <v>0.67</v>
      </c>
    </row>
    <row r="19" spans="1:7" x14ac:dyDescent="0.35">
      <c r="A19" s="1"/>
      <c r="B19" s="1" t="s">
        <v>22</v>
      </c>
      <c r="C19" s="1" t="s">
        <v>32</v>
      </c>
      <c r="D19" s="1" t="s">
        <v>39</v>
      </c>
      <c r="E19" s="1">
        <v>1</v>
      </c>
      <c r="F19" s="2">
        <v>2.92</v>
      </c>
      <c r="G19" s="2">
        <f t="shared" si="0"/>
        <v>2.92</v>
      </c>
    </row>
    <row r="20" spans="1:7" x14ac:dyDescent="0.35">
      <c r="A20" s="1"/>
      <c r="B20" s="1" t="s">
        <v>23</v>
      </c>
      <c r="C20" s="1" t="s">
        <v>24</v>
      </c>
      <c r="D20" s="1" t="s">
        <v>38</v>
      </c>
      <c r="E20" s="1">
        <v>1</v>
      </c>
      <c r="F20" s="2">
        <v>3.2</v>
      </c>
      <c r="G20" s="2">
        <f t="shared" si="0"/>
        <v>3.2</v>
      </c>
    </row>
    <row r="21" spans="1:7" x14ac:dyDescent="0.35">
      <c r="A21" s="1"/>
      <c r="B21" s="1" t="s">
        <v>26</v>
      </c>
      <c r="C21" s="1" t="s">
        <v>27</v>
      </c>
      <c r="D21" s="1"/>
      <c r="E21" s="1">
        <v>1</v>
      </c>
      <c r="F21" s="2">
        <v>7.4</v>
      </c>
      <c r="G21" s="2">
        <f t="shared" si="0"/>
        <v>7.4</v>
      </c>
    </row>
    <row r="22" spans="1:7" x14ac:dyDescent="0.35">
      <c r="A22" s="1"/>
      <c r="B22" s="1"/>
      <c r="C22" s="1"/>
      <c r="D22" s="1"/>
      <c r="E22" s="1"/>
      <c r="F22" s="1"/>
      <c r="G22" s="2">
        <f t="shared" si="0"/>
        <v>0</v>
      </c>
    </row>
    <row r="23" spans="1:7" x14ac:dyDescent="0.35">
      <c r="A23" s="1"/>
      <c r="B23" s="1"/>
      <c r="C23" s="1"/>
      <c r="D23" s="1"/>
      <c r="E23" s="1"/>
      <c r="F23" s="1"/>
      <c r="G23" s="2">
        <f t="shared" si="0"/>
        <v>0</v>
      </c>
    </row>
    <row r="24" spans="1:7" x14ac:dyDescent="0.35">
      <c r="A24" s="1"/>
      <c r="B24" s="1"/>
      <c r="C24" s="1"/>
      <c r="D24" s="1"/>
      <c r="E24" s="1"/>
      <c r="F24" s="1"/>
      <c r="G24" s="2">
        <f t="shared" si="0"/>
        <v>0</v>
      </c>
    </row>
    <row r="25" spans="1:7" x14ac:dyDescent="0.35">
      <c r="A25" s="1"/>
      <c r="B25" s="1"/>
      <c r="C25" s="1"/>
      <c r="D25" s="1"/>
      <c r="E25" s="1"/>
      <c r="F25" s="1"/>
      <c r="G25" s="2">
        <f t="shared" si="0"/>
        <v>0</v>
      </c>
    </row>
    <row r="26" spans="1:7" x14ac:dyDescent="0.35">
      <c r="A26" s="1"/>
      <c r="B26" s="1"/>
      <c r="C26" s="1"/>
      <c r="D26" s="1"/>
      <c r="E26" s="1"/>
      <c r="F26" s="1"/>
      <c r="G26" s="2">
        <f t="shared" si="0"/>
        <v>0</v>
      </c>
    </row>
    <row r="27" spans="1:7" x14ac:dyDescent="0.35">
      <c r="A27" s="1"/>
      <c r="B27" s="1"/>
      <c r="C27" s="1"/>
      <c r="D27" s="1"/>
      <c r="E27" s="1" t="s">
        <v>33</v>
      </c>
      <c r="F27" s="1"/>
      <c r="G27" s="2">
        <f>SUM(G2:G26)</f>
        <v>25.800000000000004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 por placa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 Gabriel Pirri</dc:creator>
  <cp:lastModifiedBy>Walter Gabriel Pirri</cp:lastModifiedBy>
  <cp:lastPrinted>2025-08-02T02:37:04Z</cp:lastPrinted>
  <dcterms:created xsi:type="dcterms:W3CDTF">2022-06-06T16:59:41Z</dcterms:created>
  <dcterms:modified xsi:type="dcterms:W3CDTF">2025-08-04T00:54:09Z</dcterms:modified>
</cp:coreProperties>
</file>